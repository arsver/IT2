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/>
  </bookViews>
  <sheets>
    <sheet name="Статистика" sheetId="1" r:id="rId1"/>
    <sheet name="Формулы" sheetId="2" r:id="rId2"/>
  </sheets>
  <calcPr calcId="162913" forceFullCalc="1"/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B57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  <c r="B53" i="1"/>
  <c r="B22" i="1"/>
  <c r="B52" i="1"/>
  <c r="B49" i="1"/>
  <c r="H37" i="1" l="1"/>
  <c r="I15" i="1"/>
  <c r="H33" i="1"/>
  <c r="I11" i="1"/>
  <c r="B48" i="1"/>
  <c r="H41" i="1"/>
  <c r="H29" i="1"/>
  <c r="F29" i="1"/>
  <c r="I3" i="1"/>
  <c r="I6" i="1"/>
  <c r="H34" i="1"/>
  <c r="H39" i="1"/>
  <c r="H31" i="1"/>
  <c r="F33" i="1"/>
  <c r="H35" i="1"/>
  <c r="I7" i="1"/>
  <c r="H40" i="1"/>
  <c r="I13" i="1"/>
  <c r="H32" i="1"/>
  <c r="F41" i="1"/>
  <c r="I14" i="1"/>
  <c r="H42" i="1"/>
  <c r="I8" i="1"/>
  <c r="B23" i="1"/>
  <c r="I16" i="1"/>
  <c r="H36" i="1"/>
  <c r="I10" i="1"/>
  <c r="I9" i="1"/>
  <c r="B47" i="1"/>
  <c r="F37" i="1"/>
  <c r="B21" i="1"/>
  <c r="B24" i="1"/>
  <c r="B20" i="1"/>
  <c r="H38" i="1"/>
  <c r="I12" i="1"/>
  <c r="I5" i="1"/>
  <c r="B46" i="1"/>
  <c r="I2" i="1"/>
  <c r="F28" i="1"/>
  <c r="F32" i="1"/>
  <c r="F36" i="1"/>
  <c r="F40" i="1"/>
  <c r="B50" i="1"/>
  <c r="B51" i="1"/>
  <c r="H28" i="1"/>
  <c r="I4" i="1"/>
  <c r="F30" i="1"/>
  <c r="F34" i="1"/>
  <c r="F38" i="1"/>
  <c r="F42" i="1"/>
  <c r="B19" i="1"/>
  <c r="H30" i="1"/>
  <c r="E43" i="1"/>
  <c r="G40" i="1" s="1"/>
  <c r="F31" i="1"/>
  <c r="F35" i="1"/>
  <c r="F39" i="1"/>
  <c r="G36" i="1" l="1"/>
  <c r="G28" i="1"/>
  <c r="G30" i="1"/>
  <c r="G42" i="1"/>
  <c r="G38" i="1"/>
  <c r="G39" i="1"/>
  <c r="G35" i="1"/>
  <c r="G31" i="1"/>
  <c r="G41" i="1"/>
  <c r="G37" i="1"/>
  <c r="G33" i="1"/>
  <c r="G29" i="1"/>
  <c r="G32" i="1"/>
  <c r="B56" i="1"/>
  <c r="B55" i="1"/>
  <c r="B54" i="1"/>
  <c r="G34" i="1"/>
</calcChain>
</file>

<file path=xl/sharedStrings.xml><?xml version="1.0" encoding="utf-8"?>
<sst xmlns="http://schemas.openxmlformats.org/spreadsheetml/2006/main" count="79" uniqueCount="67">
  <si>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</si>
  <si>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</si>
  <si>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</si>
  <si>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</si>
  <si>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</si>
  <si>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</si>
  <si>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</si>
  <si>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</si>
  <si>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</si>
  <si>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</si>
  <si>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</si>
  <si>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</si>
  <si>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</si>
  <si>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</si>
  <si>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</si>
  <si>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</si>
  <si>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</si>
  <si>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</si>
  <si>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</si>
  <si>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</si>
  <si>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</si>
  <si>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</si>
  <si>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успеваемости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</si>
  <si>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</si>
  <si>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</si>
  <si>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</si>
  <si>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</si>
  <si>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</si>
  <si>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</si>
  <si>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</si>
  <si>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</si>
  <si>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</si>
  <si>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</si>
  <si>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</si>
  <si>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</si>
  <si>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</si>
  <si>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</si>
  <si>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</si>
  <si>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</si>
  <si>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</si>
  <si>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</si>
  <si>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</si>
  <si>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</si>
  <si>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</si>
  <si>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</si>
  <si>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</si>
  <si>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</si>
  <si>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</si>
  <si>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</si>
  <si>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Итого:</t>
  </si>
  <si>
    <t>Статистика по выручке</t>
  </si>
  <si>
    <t>Сумма</t>
  </si>
  <si>
    <t>Среднее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</si>
  <si>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</si>
  <si>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</si>
  <si>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</si>
  <si>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</si>
  <si>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</si>
  <si>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цена/продано</t>
  </si>
  <si>
    <t>Элемент</t>
  </si>
  <si>
    <t>Формула / способ</t>
  </si>
  <si>
    <t>Ранг студента</t>
  </si>
  <si>
    <t>Доля выручки</t>
  </si>
  <si>
    <t>Ранг товара</t>
  </si>
  <si>
    <t>Корреляция</t>
  </si>
  <si>
    <t>Баленков И.И.</t>
  </si>
  <si>
    <t>Иванов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</si>
</sst>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" customWidth="1"/>
    <col min="2" max="2" width="24" customWidth="1"/>
    <col min="3" max="3" width="16" customWidth="1"/>
    <col min="4" max="4" width="18" customWidth="1"/>
    <col min="5" max="6" width="16" customWidth="1"/>
    <col min="7" max="7" width="24" customWidth="1"/>
    <col min="8" max="8" width="16" customWidth="1"/>
    <col min="9" max="9" width="12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65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4">
        <f t="shared" ref="G2:G16" si="1">AVERAGE(C2:E2)</f>
        <v>85</v>
      </c>
      <c r="H2" s="2">
        <f t="shared" ref="H2:H16" si="2">IF(G2&gt;=90,5,IF(G2&gt;=75,4,IF(G2&gt;=60,3,2)))</f>
        <v>4</v>
      </c>
      <c r="I2" s="2">
        <f t="shared" ref="I2:I16" si="3">RANK(F2,$F$2:$F$16,0)</f>
        <v>6</v>
      </c>
    </row>
    <row r="3" spans="1:9" x14ac:dyDescent="0.25">
      <c r="A3" s="2">
        <v>2</v>
      </c>
      <c r="B3" s="3" t="s">
        <v>66</v>
      </c>
      <c r="C3" s="4">
        <v>72</v>
      </c>
      <c r="D3" s="4">
        <v>65</v>
      </c>
      <c r="E3" s="4">
        <v>80</v>
      </c>
      <c r="F3" s="4">
        <f t="shared" si="0"/>
        <v>217</v>
      </c>
      <c r="G3" s="4">
        <f t="shared" si="1"/>
        <v>72.333333333333329</v>
      </c>
      <c r="H3" s="2">
        <f t="shared" si="2"/>
        <v>3</v>
      </c>
      <c r="I3" s="2">
        <f t="shared" si="3"/>
        <v>10</v>
      </c>
    </row>
    <row r="4" spans="1:9" x14ac:dyDescent="0.25">
      <c r="A4" s="2">
        <v>3</v>
      </c>
      <c r="B4" s="3" t="s">
        <v>9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2">
        <f t="shared" si="2"/>
        <v>5</v>
      </c>
      <c r="I4" s="2">
        <f t="shared" si="3"/>
        <v>2</v>
      </c>
    </row>
    <row r="5" spans="1:9" x14ac:dyDescent="0.25">
      <c r="A5" s="2">
        <v>4</v>
      </c>
      <c r="B5" s="3" t="s">
        <v>10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2">
        <f t="shared" si="2"/>
        <v>3</v>
      </c>
      <c r="I5" s="2">
        <f t="shared" si="3"/>
        <v>13</v>
      </c>
    </row>
    <row r="6" spans="1:9" x14ac:dyDescent="0.25">
      <c r="A6" s="2">
        <v>5</v>
      </c>
      <c r="B6" s="3" t="s">
        <v>11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2">
        <f t="shared" si="2"/>
        <v>4</v>
      </c>
      <c r="I6" s="2">
        <f t="shared" si="3"/>
        <v>7</v>
      </c>
    </row>
    <row r="7" spans="1:9" x14ac:dyDescent="0.25">
      <c r="A7" s="2">
        <v>6</v>
      </c>
      <c r="B7" s="3" t="s">
        <v>12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2">
        <f t="shared" si="2"/>
        <v>5</v>
      </c>
      <c r="I7" s="2">
        <f t="shared" si="3"/>
        <v>4</v>
      </c>
    </row>
    <row r="8" spans="1:9" x14ac:dyDescent="0.25">
      <c r="A8" s="2">
        <v>7</v>
      </c>
      <c r="B8" s="3" t="s">
        <v>13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2">
        <f t="shared" si="2"/>
        <v>3</v>
      </c>
      <c r="I8" s="2">
        <f t="shared" si="3"/>
        <v>12</v>
      </c>
    </row>
    <row r="9" spans="1:9" x14ac:dyDescent="0.25">
      <c r="A9" s="2">
        <v>8</v>
      </c>
      <c r="B9" s="3" t="s">
        <v>14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2">
        <f t="shared" si="2"/>
        <v>4</v>
      </c>
      <c r="I9" s="2">
        <f t="shared" si="3"/>
        <v>5</v>
      </c>
    </row>
    <row r="10" spans="1:9" x14ac:dyDescent="0.25">
      <c r="A10" s="2">
        <v>9</v>
      </c>
      <c r="B10" s="3" t="s">
        <v>15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2">
        <f t="shared" si="2"/>
        <v>2</v>
      </c>
      <c r="I10" s="2">
        <f t="shared" si="3"/>
        <v>15</v>
      </c>
    </row>
    <row r="11" spans="1:9" x14ac:dyDescent="0.25">
      <c r="A11" s="2">
        <v>10</v>
      </c>
      <c r="B11" s="3" t="s">
        <v>16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2">
        <f t="shared" si="2"/>
        <v>4</v>
      </c>
      <c r="I11" s="2">
        <f t="shared" si="3"/>
        <v>8</v>
      </c>
    </row>
    <row r="12" spans="1:9" x14ac:dyDescent="0.25">
      <c r="A12" s="2">
        <v>11</v>
      </c>
      <c r="B12" s="3" t="s">
        <v>17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2">
        <f t="shared" si="2"/>
        <v>3</v>
      </c>
      <c r="I12" s="2">
        <f t="shared" si="3"/>
        <v>11</v>
      </c>
    </row>
    <row r="13" spans="1:9" x14ac:dyDescent="0.25">
      <c r="A13" s="2">
        <v>12</v>
      </c>
      <c r="B13" s="3" t="s">
        <v>18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2">
        <f t="shared" si="2"/>
        <v>5</v>
      </c>
      <c r="I13" s="2">
        <f t="shared" si="3"/>
        <v>3</v>
      </c>
    </row>
    <row r="14" spans="1:9" x14ac:dyDescent="0.25">
      <c r="A14" s="2">
        <v>13</v>
      </c>
      <c r="B14" s="3" t="s">
        <v>19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2">
        <f t="shared" si="2"/>
        <v>4</v>
      </c>
      <c r="I14" s="2">
        <f t="shared" si="3"/>
        <v>9</v>
      </c>
    </row>
    <row r="15" spans="1:9" x14ac:dyDescent="0.25">
      <c r="A15" s="2">
        <v>14</v>
      </c>
      <c r="B15" s="3" t="s">
        <v>20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2">
        <f t="shared" si="2"/>
        <v>3</v>
      </c>
      <c r="I15" s="2">
        <f t="shared" si="3"/>
        <v>14</v>
      </c>
    </row>
    <row r="16" spans="1:9" x14ac:dyDescent="0.25">
      <c r="A16" s="2">
        <v>15</v>
      </c>
      <c r="B16" s="3" t="s">
        <v>21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2">
        <f t="shared" si="2"/>
        <v>5</v>
      </c>
      <c r="I16" s="2">
        <f t="shared" si="3"/>
        <v>1</v>
      </c>
    </row>
    <row r="18" spans="1:8" x14ac:dyDescent="0.25">
      <c r="A18" s="5" t="s">
        <v>22</v>
      </c>
    </row>
    <row r="19" spans="1:8" x14ac:dyDescent="0.25">
      <c r="A19" s="6" t="s">
        <v>5</v>
      </c>
      <c r="B19" s="6">
        <f>SUM(F2:F16)</f>
        <v>3536</v>
      </c>
    </row>
    <row r="20" spans="1:8" x14ac:dyDescent="0.25">
      <c r="A20" s="6" t="s">
        <v>6</v>
      </c>
      <c r="B20" s="6">
        <f>AVERAGE(F2:F16)</f>
        <v>235.73333333333332</v>
      </c>
    </row>
    <row r="21" spans="1:8" x14ac:dyDescent="0.25">
      <c r="A21" s="6" t="s">
        <v>23</v>
      </c>
      <c r="B21" s="6">
        <f>MEDIAN(F2:F16)</f>
        <v>237</v>
      </c>
    </row>
    <row r="22" spans="1:8" x14ac:dyDescent="0.25">
      <c r="A22" s="6" t="s">
        <v>24</v>
      </c>
      <c r="B22" s="6" t="e">
        <f ca="1">_xludf.MODE.SNGL(F2:F16)</f>
        <v>#NAME?</v>
      </c>
    </row>
    <row r="23" spans="1:8" x14ac:dyDescent="0.25">
      <c r="A23" s="6" t="s">
        <v>25</v>
      </c>
      <c r="B23" s="6">
        <f>MIN(F2:F16)</f>
        <v>173</v>
      </c>
    </row>
    <row r="24" spans="1:8" x14ac:dyDescent="0.25">
      <c r="A24" s="6" t="s">
        <v>26</v>
      </c>
      <c r="B24" s="6">
        <f>MAX(F2:F16)</f>
        <v>293</v>
      </c>
    </row>
    <row r="27" spans="1:8" ht="32.1" customHeight="1" x14ac:dyDescent="0.25">
      <c r="A27" s="7" t="s">
        <v>0</v>
      </c>
      <c r="B27" s="7" t="s">
        <v>27</v>
      </c>
      <c r="C27" s="7" t="s">
        <v>28</v>
      </c>
      <c r="D27" s="7" t="s">
        <v>29</v>
      </c>
      <c r="E27" s="7" t="s">
        <v>30</v>
      </c>
      <c r="F27" s="7" t="s">
        <v>31</v>
      </c>
      <c r="G27" s="7" t="s">
        <v>32</v>
      </c>
      <c r="H27" s="7" t="s">
        <v>33</v>
      </c>
    </row>
    <row r="28" spans="1:8" x14ac:dyDescent="0.25">
      <c r="A28" s="2">
        <v>1</v>
      </c>
      <c r="B28" s="3" t="s">
        <v>34</v>
      </c>
      <c r="C28" s="8">
        <v>45000</v>
      </c>
      <c r="D28" s="4">
        <v>12</v>
      </c>
      <c r="E28" s="8">
        <f t="shared" ref="E28:E42" si="4">C28*D28</f>
        <v>540000</v>
      </c>
      <c r="F28" s="2" t="str">
        <f t="shared" ref="F28:F42" si="5">IF(E28&gt;100000,"Топ",IF(E28&gt;50000,"Средний","Низкий"))</f>
        <v>Топ</v>
      </c>
      <c r="G28" s="9">
        <f t="shared" ref="G28:G42" si="6">E28/$E$43*100</f>
        <v>28.600180075207881</v>
      </c>
      <c r="H28" s="2">
        <f t="shared" ref="H28:H42" si="7">RANK(E28,$E$28:$E$42,0)</f>
        <v>1</v>
      </c>
    </row>
    <row r="29" spans="1:8" x14ac:dyDescent="0.25">
      <c r="A29" s="2">
        <v>2</v>
      </c>
      <c r="B29" s="3" t="s">
        <v>35</v>
      </c>
      <c r="C29" s="8">
        <v>18000</v>
      </c>
      <c r="D29" s="4">
        <v>25</v>
      </c>
      <c r="E29" s="8">
        <f t="shared" si="4"/>
        <v>450000</v>
      </c>
      <c r="F29" s="2" t="str">
        <f t="shared" si="5"/>
        <v>Топ</v>
      </c>
      <c r="G29" s="9">
        <f t="shared" si="6"/>
        <v>23.833483396006567</v>
      </c>
      <c r="H29" s="2">
        <f t="shared" si="7"/>
        <v>2</v>
      </c>
    </row>
    <row r="30" spans="1:8" x14ac:dyDescent="0.25">
      <c r="A30" s="2">
        <v>3</v>
      </c>
      <c r="B30" s="3" t="s">
        <v>36</v>
      </c>
      <c r="C30" s="8">
        <v>1500</v>
      </c>
      <c r="D30" s="4">
        <v>60</v>
      </c>
      <c r="E30" s="8">
        <f t="shared" si="4"/>
        <v>90000</v>
      </c>
      <c r="F30" s="2" t="str">
        <f t="shared" si="5"/>
        <v>Средний</v>
      </c>
      <c r="G30" s="9">
        <f t="shared" si="6"/>
        <v>4.7666966792013135</v>
      </c>
      <c r="H30" s="2">
        <f t="shared" si="7"/>
        <v>5</v>
      </c>
    </row>
    <row r="31" spans="1:8" x14ac:dyDescent="0.25">
      <c r="A31" s="2">
        <v>4</v>
      </c>
      <c r="B31" s="3" t="s">
        <v>37</v>
      </c>
      <c r="C31" s="8">
        <v>800</v>
      </c>
      <c r="D31" s="4">
        <v>85</v>
      </c>
      <c r="E31" s="8">
        <f t="shared" si="4"/>
        <v>68000</v>
      </c>
      <c r="F31" s="2" t="str">
        <f t="shared" si="5"/>
        <v>Средний</v>
      </c>
      <c r="G31" s="9">
        <f t="shared" si="6"/>
        <v>3.6015041576187699</v>
      </c>
      <c r="H31" s="2">
        <f t="shared" si="7"/>
        <v>9</v>
      </c>
    </row>
    <row r="32" spans="1:8" x14ac:dyDescent="0.25">
      <c r="A32" s="2">
        <v>5</v>
      </c>
      <c r="B32" s="3" t="s">
        <v>38</v>
      </c>
      <c r="C32" s="8">
        <v>12000</v>
      </c>
      <c r="D32" s="4">
        <v>8</v>
      </c>
      <c r="E32" s="8">
        <f t="shared" si="4"/>
        <v>96000</v>
      </c>
      <c r="F32" s="2" t="str">
        <f t="shared" si="5"/>
        <v>Средний</v>
      </c>
      <c r="G32" s="9">
        <f t="shared" si="6"/>
        <v>5.0844764578147341</v>
      </c>
      <c r="H32" s="2">
        <f t="shared" si="7"/>
        <v>4</v>
      </c>
    </row>
    <row r="33" spans="1:8" x14ac:dyDescent="0.25">
      <c r="A33" s="2">
        <v>6</v>
      </c>
      <c r="B33" s="3" t="s">
        <v>39</v>
      </c>
      <c r="C33" s="8">
        <v>9000</v>
      </c>
      <c r="D33" s="4">
        <v>6</v>
      </c>
      <c r="E33" s="8">
        <f t="shared" si="4"/>
        <v>54000</v>
      </c>
      <c r="F33" s="2" t="str">
        <f t="shared" si="5"/>
        <v>Средний</v>
      </c>
      <c r="G33" s="9">
        <f t="shared" si="6"/>
        <v>2.8600180075207882</v>
      </c>
      <c r="H33" s="2">
        <f t="shared" si="7"/>
        <v>12</v>
      </c>
    </row>
    <row r="34" spans="1:8" x14ac:dyDescent="0.25">
      <c r="A34" s="2">
        <v>7</v>
      </c>
      <c r="B34" s="3" t="s">
        <v>40</v>
      </c>
      <c r="C34" s="8">
        <v>600</v>
      </c>
      <c r="D34" s="4">
        <v>120</v>
      </c>
      <c r="E34" s="8">
        <f t="shared" si="4"/>
        <v>72000</v>
      </c>
      <c r="F34" s="2" t="str">
        <f t="shared" si="5"/>
        <v>Средний</v>
      </c>
      <c r="G34" s="9">
        <f t="shared" si="6"/>
        <v>3.8133573433610506</v>
      </c>
      <c r="H34" s="2">
        <f t="shared" si="7"/>
        <v>7</v>
      </c>
    </row>
    <row r="35" spans="1:8" x14ac:dyDescent="0.25">
      <c r="A35" s="2">
        <v>8</v>
      </c>
      <c r="B35" s="3" t="s">
        <v>41</v>
      </c>
      <c r="C35" s="8">
        <v>5500</v>
      </c>
      <c r="D35" s="4">
        <v>15</v>
      </c>
      <c r="E35" s="8">
        <f t="shared" si="4"/>
        <v>82500</v>
      </c>
      <c r="F35" s="2" t="str">
        <f t="shared" si="5"/>
        <v>Средний</v>
      </c>
      <c r="G35" s="9">
        <f t="shared" si="6"/>
        <v>4.3694719559345376</v>
      </c>
      <c r="H35" s="2">
        <f t="shared" si="7"/>
        <v>6</v>
      </c>
    </row>
    <row r="36" spans="1:8" x14ac:dyDescent="0.25">
      <c r="A36" s="2">
        <v>9</v>
      </c>
      <c r="B36" s="3" t="s">
        <v>42</v>
      </c>
      <c r="C36" s="8">
        <v>2800</v>
      </c>
      <c r="D36" s="4">
        <v>22</v>
      </c>
      <c r="E36" s="8">
        <f t="shared" si="4"/>
        <v>61600</v>
      </c>
      <c r="F36" s="2" t="str">
        <f t="shared" si="5"/>
        <v>Средний</v>
      </c>
      <c r="G36" s="9">
        <f t="shared" si="6"/>
        <v>3.2625390604311209</v>
      </c>
      <c r="H36" s="2">
        <f t="shared" si="7"/>
        <v>11</v>
      </c>
    </row>
    <row r="37" spans="1:8" x14ac:dyDescent="0.25">
      <c r="A37" s="2">
        <v>10</v>
      </c>
      <c r="B37" s="3" t="s">
        <v>43</v>
      </c>
      <c r="C37" s="8">
        <v>3200</v>
      </c>
      <c r="D37" s="4">
        <v>35</v>
      </c>
      <c r="E37" s="8">
        <f t="shared" si="4"/>
        <v>112000</v>
      </c>
      <c r="F37" s="2" t="str">
        <f t="shared" si="5"/>
        <v>Топ</v>
      </c>
      <c r="G37" s="9">
        <f t="shared" si="6"/>
        <v>5.9318892007838571</v>
      </c>
      <c r="H37" s="2">
        <f t="shared" si="7"/>
        <v>3</v>
      </c>
    </row>
    <row r="38" spans="1:8" x14ac:dyDescent="0.25">
      <c r="A38" s="2">
        <v>11</v>
      </c>
      <c r="B38" s="3" t="s">
        <v>44</v>
      </c>
      <c r="C38" s="8">
        <v>400</v>
      </c>
      <c r="D38" s="4">
        <v>90</v>
      </c>
      <c r="E38" s="8">
        <f t="shared" si="4"/>
        <v>36000</v>
      </c>
      <c r="F38" s="2" t="str">
        <f t="shared" si="5"/>
        <v>Низкий</v>
      </c>
      <c r="G38" s="9">
        <f t="shared" si="6"/>
        <v>1.9066786716805253</v>
      </c>
      <c r="H38" s="2">
        <f t="shared" si="7"/>
        <v>15</v>
      </c>
    </row>
    <row r="39" spans="1:8" x14ac:dyDescent="0.25">
      <c r="A39" s="2">
        <v>12</v>
      </c>
      <c r="B39" s="3" t="s">
        <v>45</v>
      </c>
      <c r="C39" s="8">
        <v>1200</v>
      </c>
      <c r="D39" s="4">
        <v>40</v>
      </c>
      <c r="E39" s="8">
        <f t="shared" si="4"/>
        <v>48000</v>
      </c>
      <c r="F39" s="2" t="str">
        <f t="shared" si="5"/>
        <v>Низкий</v>
      </c>
      <c r="G39" s="9">
        <f t="shared" si="6"/>
        <v>2.5422382289073671</v>
      </c>
      <c r="H39" s="2">
        <f t="shared" si="7"/>
        <v>13</v>
      </c>
    </row>
    <row r="40" spans="1:8" x14ac:dyDescent="0.25">
      <c r="A40" s="2">
        <v>13</v>
      </c>
      <c r="B40" s="3" t="s">
        <v>46</v>
      </c>
      <c r="C40" s="8">
        <v>2500</v>
      </c>
      <c r="D40" s="4">
        <v>18</v>
      </c>
      <c r="E40" s="8">
        <f t="shared" si="4"/>
        <v>45000</v>
      </c>
      <c r="F40" s="2" t="str">
        <f t="shared" si="5"/>
        <v>Низкий</v>
      </c>
      <c r="G40" s="9">
        <f t="shared" si="6"/>
        <v>2.3833483396006567</v>
      </c>
      <c r="H40" s="2">
        <f t="shared" si="7"/>
        <v>14</v>
      </c>
    </row>
    <row r="41" spans="1:8" x14ac:dyDescent="0.25">
      <c r="A41" s="2">
        <v>14</v>
      </c>
      <c r="B41" s="3" t="s">
        <v>47</v>
      </c>
      <c r="C41" s="8">
        <v>350</v>
      </c>
      <c r="D41" s="4">
        <v>200</v>
      </c>
      <c r="E41" s="8">
        <f t="shared" si="4"/>
        <v>70000</v>
      </c>
      <c r="F41" s="2" t="str">
        <f t="shared" si="5"/>
        <v>Средний</v>
      </c>
      <c r="G41" s="9">
        <f t="shared" si="6"/>
        <v>3.7074307504899102</v>
      </c>
      <c r="H41" s="2">
        <f t="shared" si="7"/>
        <v>8</v>
      </c>
    </row>
    <row r="42" spans="1:8" x14ac:dyDescent="0.25">
      <c r="A42" s="2">
        <v>15</v>
      </c>
      <c r="B42" s="3" t="s">
        <v>48</v>
      </c>
      <c r="C42" s="8">
        <v>4500</v>
      </c>
      <c r="D42" s="4">
        <v>14</v>
      </c>
      <c r="E42" s="8">
        <f t="shared" si="4"/>
        <v>63000</v>
      </c>
      <c r="F42" s="2" t="str">
        <f t="shared" si="5"/>
        <v>Средний</v>
      </c>
      <c r="G42" s="9">
        <f t="shared" si="6"/>
        <v>3.3366876754409192</v>
      </c>
      <c r="H42" s="2">
        <f t="shared" si="7"/>
        <v>10</v>
      </c>
    </row>
    <row r="43" spans="1:8" x14ac:dyDescent="0.25">
      <c r="D43" s="10" t="s">
        <v>49</v>
      </c>
      <c r="E43" s="11">
        <f>SUM(E28:E42)</f>
        <v>1888100</v>
      </c>
    </row>
    <row r="45" spans="1:8" x14ac:dyDescent="0.25">
      <c r="A45" s="5" t="s">
        <v>50</v>
      </c>
    </row>
    <row r="46" spans="1:8" x14ac:dyDescent="0.25">
      <c r="A46" s="6" t="s">
        <v>51</v>
      </c>
      <c r="B46" s="12">
        <f>SUM(E28:E42)</f>
        <v>1888100</v>
      </c>
    </row>
    <row r="47" spans="1:8" x14ac:dyDescent="0.25">
      <c r="A47" s="6" t="s">
        <v>52</v>
      </c>
      <c r="B47" s="12">
        <f>AVERAGE(E28:E42)</f>
        <v>125873.33333333333</v>
      </c>
    </row>
    <row r="48" spans="1:8" x14ac:dyDescent="0.25">
      <c r="A48" s="6" t="s">
        <v>23</v>
      </c>
      <c r="B48" s="12">
        <f>MEDIAN(E28:E42)</f>
        <v>70000</v>
      </c>
    </row>
    <row r="49" spans="1:2" x14ac:dyDescent="0.25">
      <c r="A49" s="6" t="s">
        <v>24</v>
      </c>
      <c r="B49" s="12" t="e">
        <f ca="1">_xludf.MODE.SNGL(E28:E42)</f>
        <v>#NAME?</v>
      </c>
    </row>
    <row r="50" spans="1:2" x14ac:dyDescent="0.25">
      <c r="A50" s="6" t="s">
        <v>25</v>
      </c>
      <c r="B50" s="12">
        <f>MIN(E28:E42)</f>
        <v>36000</v>
      </c>
    </row>
    <row r="51" spans="1:2" x14ac:dyDescent="0.25">
      <c r="A51" s="6" t="s">
        <v>26</v>
      </c>
      <c r="B51" s="12">
        <f>MAX(E28:E42)</f>
        <v>540000</v>
      </c>
    </row>
    <row r="52" spans="1:2" x14ac:dyDescent="0.25">
      <c r="A52" s="6" t="s">
        <v>53</v>
      </c>
      <c r="B52" s="12" t="e">
        <f ca="1">_xludf.STDEV.S(E28:E42)</f>
        <v>#NAME?</v>
      </c>
    </row>
    <row r="53" spans="1:2" x14ac:dyDescent="0.25">
      <c r="A53" s="6" t="s">
        <v>54</v>
      </c>
      <c r="B53" s="12" t="e">
        <f ca="1">_xludf.VAR.S(E28:E42)</f>
        <v>#NAME?</v>
      </c>
    </row>
    <row r="54" spans="1:2" x14ac:dyDescent="0.25">
      <c r="A54" s="6" t="s">
        <v>55</v>
      </c>
      <c r="B54" s="12">
        <f>COUNTIF(F28:F42,"Топ")</f>
        <v>3</v>
      </c>
    </row>
    <row r="55" spans="1:2" x14ac:dyDescent="0.25">
      <c r="A55" s="6" t="s">
        <v>56</v>
      </c>
      <c r="B55" s="12">
        <f>SUMIF(F28:F42,"Топ",E28:E42)</f>
        <v>1102000</v>
      </c>
    </row>
    <row r="56" spans="1:2" x14ac:dyDescent="0.25">
      <c r="A56" s="6" t="s">
        <v>57</v>
      </c>
      <c r="B56" s="12">
        <f>AVERAGEIF(F28:F42,"Средний",E28:E42)</f>
        <v>73011.111111111109</v>
      </c>
    </row>
    <row r="57" spans="1:2" x14ac:dyDescent="0.25">
      <c r="A57" s="6" t="s">
        <v>58</v>
      </c>
      <c r="B57" s="13">
        <f>CORREL(C28:C42,D28:D42)</f>
        <v>-0.39694833806521035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25" customWidth="1"/>
    <col min="2" max="2" width="65" customWidth="1"/>
  </cols>
  <sheetData>
    <row r="1" spans="1:2" x14ac:dyDescent="0.25">
      <c r="A1" s="14" t="s">
        <v>59</v>
      </c>
      <c r="B1" s="14" t="s">
        <v>60</v>
      </c>
    </row>
    <row r="2" spans="1:2" x14ac:dyDescent="0.25">
      <c r="A2" s="6" t="s">
        <v>5</v>
      </c>
      <c r="B2" s="6">
        <f>SUM(C2:E2)</f>
        <v>0</v>
      </c>
    </row>
    <row r="3" spans="1:2" x14ac:dyDescent="0.25">
      <c r="A3" s="6" t="s">
        <v>6</v>
      </c>
      <c r="B3" s="6" t="e">
        <f>AVERAGE(C2:E2)</f>
        <v>#DIV/0!</v>
      </c>
    </row>
    <row r="4" spans="1:2" x14ac:dyDescent="0.25">
      <c r="A4" s="6" t="s">
        <v>7</v>
      </c>
      <c r="B4" s="6">
        <f>IF(G2&gt;=90,5,IF(G2&gt;=75,4,IF(G2&gt;=60,3,2)))</f>
        <v>2</v>
      </c>
    </row>
    <row r="5" spans="1:2" x14ac:dyDescent="0.25">
      <c r="A5" s="6" t="s">
        <v>61</v>
      </c>
      <c r="B5" s="6" t="e">
        <f>RANK(F2,$F$2:$F$16,0)</f>
        <v>#N/A</v>
      </c>
    </row>
    <row r="6" spans="1:2" x14ac:dyDescent="0.25">
      <c r="A6" s="6" t="s">
        <v>30</v>
      </c>
      <c r="B6" s="6">
        <f>C28*D28</f>
        <v>0</v>
      </c>
    </row>
    <row r="7" spans="1:2" x14ac:dyDescent="0.25">
      <c r="A7" s="6" t="s">
        <v>31</v>
      </c>
      <c r="B7" s="6" t="str">
        <f>IF(E28&gt;100000,"Топ",IF(E28&gt;50000,"Средний","Низкий"))</f>
        <v>Низкий</v>
      </c>
    </row>
    <row r="8" spans="1:2" x14ac:dyDescent="0.25">
      <c r="A8" s="6" t="s">
        <v>62</v>
      </c>
      <c r="B8" s="6" t="e">
        <f>E28/$E$43*100</f>
        <v>#DIV/0!</v>
      </c>
    </row>
    <row r="9" spans="1:2" x14ac:dyDescent="0.25">
      <c r="A9" s="6" t="s">
        <v>63</v>
      </c>
      <c r="B9" s="6" t="e">
        <f>RANK(E28,$E$28:$E$42,0)</f>
        <v>#N/A</v>
      </c>
    </row>
    <row r="10" spans="1:2" x14ac:dyDescent="0.25">
      <c r="A10" s="6" t="s">
        <v>64</v>
      </c>
      <c r="B10" s="6" t="e">
        <f>CORREL(C28:C42,D28:D42)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Формулы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2026-09-29T08:23:28Z</dcterms:created>
  <dcterms:modified xsi:type="dcterms:W3CDTF">2026-09-29T08:41:04Z</dcterms:modified>
</cp:coreProperties>
</file>